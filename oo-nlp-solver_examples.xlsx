
<file path=[Content_Types].xml><?xml version="1.0" encoding="utf-8"?>
<Types xmlns="http://schemas.openxmlformats.org/package/2006/content-types">
  <Default Extension="svg" ContentType="image/svg+xml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okieRecipe" sheetId="1" state="visible" r:id="rId1"/>
    <sheet name="Himmelblau" sheetId="2" state="visible" r:id="rId2"/>
    <sheet name="Etanorm_Pump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<sst xmlns="http://schemas.openxmlformats.org/spreadsheetml/2006/main" count="71" uniqueCount="71">
  <si>
    <t>karlbreuer.com</t>
  </si>
  <si>
    <t xml:space="preserve">Cookie Recipe</t>
  </si>
  <si>
    <t xml:space="preserve">Find the best cookie recipe by making a dough. Divide the base into 3 parts and add different amounts of salt, sugar and fat.</t>
  </si>
  <si>
    <t xml:space="preserve">You have to change 3 parameters at once and try and error is the only way to get what you want. Unless you are very good at math...</t>
  </si>
  <si>
    <t xml:space="preserve">This is how I found that oo did not have a solver - yet! :D</t>
  </si>
  <si>
    <t xml:space="preserve">The target is from the analysis of existing recipers, or the analysis of the previous runs!</t>
  </si>
  <si>
    <t xml:space="preserve">Base recipe</t>
  </si>
  <si>
    <t>mass_g</t>
  </si>
  <si>
    <t>salt_g</t>
  </si>
  <si>
    <t>sugar_g</t>
  </si>
  <si>
    <t>fat_g</t>
  </si>
  <si>
    <t xml:space="preserve">Variants all starting from base /3 </t>
  </si>
  <si>
    <t xml:space="preserve">Change here!</t>
  </si>
  <si>
    <t>Target</t>
  </si>
  <si>
    <t>Solver</t>
  </si>
  <si>
    <t>Name</t>
  </si>
  <si>
    <t>add_salt_g</t>
  </si>
  <si>
    <t>add_sugar_g</t>
  </si>
  <si>
    <t>add_fat_g</t>
  </si>
  <si>
    <t>salt_m%</t>
  </si>
  <si>
    <t>sugar_m%</t>
  </si>
  <si>
    <t>fat_m%</t>
  </si>
  <si>
    <t>"-&gt;0"</t>
  </si>
  <si>
    <t>Variant1</t>
  </si>
  <si>
    <t>Variant2</t>
  </si>
  <si>
    <t>Variant3</t>
  </si>
  <si>
    <t>Himmelblau</t>
  </si>
  <si>
    <t xml:space="preserve">Example 1:</t>
  </si>
  <si>
    <t xml:space="preserve">Find x,y so that f(x,y) is 0</t>
  </si>
  <si>
    <t>Solution</t>
  </si>
  <si>
    <t xml:space="preserve">Use the solver, select Result as target and Parameters as ... Paramters</t>
  </si>
  <si>
    <t>Parameters</t>
  </si>
  <si>
    <t>x</t>
  </si>
  <si>
    <t>y</t>
  </si>
  <si>
    <t>Result</t>
  </si>
  <si>
    <t>f(x,y)</t>
  </si>
  <si>
    <t xml:space="preserve">Example 2:</t>
  </si>
  <si>
    <t xml:space="preserve">Find a and b that created the results</t>
  </si>
  <si>
    <t xml:space="preserve">Use the solver, select sum of diff^2 as target and search Parameters as search parameters</t>
  </si>
  <si>
    <t xml:space="preserve">creation Parameters (unkwown in real case!)</t>
  </si>
  <si>
    <t>a</t>
  </si>
  <si>
    <t>b</t>
  </si>
  <si>
    <t xml:space="preserve">search Parameters</t>
  </si>
  <si>
    <t xml:space="preserve">Measure points</t>
  </si>
  <si>
    <t>sum</t>
  </si>
  <si>
    <t>measured</t>
  </si>
  <si>
    <t>calculated</t>
  </si>
  <si>
    <t>diff^2</t>
  </si>
  <si>
    <t xml:space="preserve">Etanorm Pump</t>
  </si>
  <si>
    <t xml:space="preserve">Etanorm 065-040-250</t>
  </si>
  <si>
    <t>https://en.wikipedia.org/wiki/Centrifugal_pump</t>
  </si>
  <si>
    <t xml:space="preserve">Find the Paramters to the pump head calculation</t>
  </si>
  <si>
    <t xml:space="preserve">By knowing this you can trim the diameter of the pump exactly.</t>
  </si>
  <si>
    <t xml:space="preserve">It depends a bit on the motor, but maybe there is "Schlupf" the motor will rotate slower when on duty, keep this in mind for real world usage.</t>
  </si>
  <si>
    <t>A</t>
  </si>
  <si>
    <t>B</t>
  </si>
  <si>
    <t>C</t>
  </si>
  <si>
    <t xml:space="preserve">How the f do I know the shape of the equation?</t>
  </si>
  <si>
    <t xml:space="preserve">I brute forced it some time ago. https://github.com/Karl1b/polyCurve_fit/blob/main/PolyCurveFit-two_pager.pdf</t>
  </si>
  <si>
    <t xml:space="preserve">Normally you derive equation from physics...</t>
  </si>
  <si>
    <t xml:space="preserve">(Maybe I will include brute force polyfit into the solver later)</t>
  </si>
  <si>
    <t>RPM</t>
  </si>
  <si>
    <t>Diameter</t>
  </si>
  <si>
    <t>flow</t>
  </si>
  <si>
    <t>head</t>
  </si>
  <si>
    <t>head_c</t>
  </si>
  <si>
    <t>diff</t>
  </si>
  <si>
    <t>1/min</t>
  </si>
  <si>
    <t>mm</t>
  </si>
  <si>
    <t>m3/h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</si>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</sst>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0.0"/>
  </numFmts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 tint="0"/>
        <bgColor theme="0" tint="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0" fillId="2" borderId="0" numFmtId="0" xfId="0" applyFill="1"/>
    <xf fontId="0" fillId="3" borderId="0" numFmtId="0" xfId="0" applyFill="1"/>
    <xf fontId="0" fillId="2" borderId="0" numFmtId="0" xfId="0" applyFill="1"/>
    <xf fontId="0" fillId="4" borderId="0" numFmtId="0" xfId="0" applyFill="1"/>
    <xf fontId="0" fillId="5" borderId="0" numFmtId="0" xfId="0" applyFill="1"/>
    <xf fontId="0" fillId="6" borderId="0" numFmtId="0" xfId="0" applyFill="1"/>
    <xf fontId="0" fillId="3" borderId="0" numFmtId="0" xfId="0" applyFill="1"/>
    <xf fontId="1" fillId="3" borderId="0" numFmtId="0" xfId="0" applyFont="1" applyFill="1"/>
    <xf fontId="0" fillId="4" borderId="0" numFmtId="11" xfId="0" applyNumberFormat="1" applyFill="1"/>
    <xf fontId="0" fillId="2" borderId="0" numFmtId="11" xfId="0" applyNumberFormat="1" applyFill="1"/>
    <xf fontId="0" fillId="2" borderId="0" numFmtId="0" xfId="0" applyFill="1">
      <protection hidden="0" locked="1"/>
    </xf>
    <xf fontId="0" fillId="2" borderId="0" numFmtId="164" xfId="0" applyNumberFormat="1" applyFill="1"/>
    <xf fontId="0" fillId="2" borderId="0" numFmtId="165" xfId="0" applyNumberFormat="1" applyFill="1"/>
    <xf fontId="0" fillId="2" borderId="0" numFmtId="2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media1.sv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hyperlink" Target="https://en.wikipedia.org/wiki/Mathematical_optimization" TargetMode="External"/><Relationship Id="rId2" Type="http://schemas.openxmlformats.org/officeDocument/2006/relationships/hyperlink" Target="https://en.wikipedia.org/wiki/Optimization_algorithm" TargetMode="External"/><Relationship Id="rId3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238124</xdr:colOff>
      <xdr:row>0</xdr:row>
      <xdr:rowOff>0</xdr:rowOff>
    </xdr:from>
    <xdr:ext cx="323849" cy="323849"/>
    <xdr:pic>
      <xdr:nvPicPr>
        <xdr:cNvPr id="1650020716" name="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 bwMode="auto">
        <a:xfrm flipH="0" flipV="0">
          <a:off x="238124" y="0"/>
          <a:ext cx="323849" cy="32384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10</xdr:col>
      <xdr:colOff>453388</xdr:colOff>
      <xdr:row>4</xdr:row>
      <xdr:rowOff>43813</xdr:rowOff>
    </xdr:from>
    <xdr:to>
      <xdr:col>18</xdr:col>
      <xdr:colOff>320038</xdr:colOff>
      <xdr:row>18</xdr:row>
      <xdr:rowOff>26669</xdr:rowOff>
    </xdr:to>
    <xdr:sp>
      <xdr:nvSpPr>
        <xdr:cNvPr id="920753033" name=""/>
        <xdr:cNvSpPr txBox="1"/>
      </xdr:nvSpPr>
      <xdr:spPr bwMode="auto">
        <a:xfrm flipH="0" flipV="0">
          <a:off x="6549388" y="775333"/>
          <a:ext cx="4743449" cy="2543175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 marL="0" marR="0" indent="0">
            <a:spcBef>
              <a:spcPts val="597"/>
            </a:spcBef>
            <a:spcAft>
              <a:spcPts val="1195"/>
            </a:spcAft>
            <a:defRPr/>
          </a:pPr>
          <a:r>
            <a:rPr/>
            <a:t>In </a:t>
          </a:r>
          <a:r>
            <a:rPr u="sng">
              <a:solidFill>
                <a:schemeClr val="hlink"/>
              </a:solidFill>
              <a:hlinkClick r:id="rId1" tooltip="Mathematical optimization"/>
            </a:rPr>
            <a:t>mathematical optimization</a:t>
          </a:r>
          <a:r>
            <a:rPr/>
            <a:t>, </a:t>
          </a:r>
          <a:r>
            <a:rPr b="1"/>
            <a:t>Himmelblau's function</a:t>
          </a:r>
          <a:r>
            <a:rPr/>
            <a:t> is a multi-modal function, used to test the performance of </a:t>
          </a:r>
          <a:r>
            <a:rPr u="sng">
              <a:solidFill>
                <a:schemeClr val="hlink"/>
              </a:solidFill>
              <a:hlinkClick r:id="rId2" tooltip="Optimization algorithm"/>
            </a:rPr>
            <a:t>optimization algorithms</a:t>
          </a:r>
          <a:r>
            <a:rPr/>
            <a:t>. The function is defined by:</a:t>
          </a:r>
          <a:endParaRPr sz="1200">
            <a:latin typeface="Arial"/>
            <a:ea typeface="Arial"/>
            <a:cs typeface="Arial"/>
          </a:endParaRPr>
        </a:p>
        <a:p>
          <a:pPr marL="243839" marR="0" indent="0">
            <a:spcAft>
              <a:spcPts val="119"/>
            </a:spcAft>
            <a:defRPr/>
          </a:pPr>
          <a:r>
            <a:rPr/>
            <a:t>f(x,y)=(x^2+y−11)^2+(x+y^2−7)^2</a:t>
          </a:r>
          <a:endParaRPr sz="1200">
            <a:latin typeface="Arial"/>
            <a:ea typeface="Arial"/>
            <a:cs typeface="Arial"/>
          </a:endParaRPr>
        </a:p>
        <a:p>
          <a:pPr marL="0" marR="0" indent="0">
            <a:spcBef>
              <a:spcPts val="597"/>
            </a:spcBef>
            <a:spcAft>
              <a:spcPts val="1195"/>
            </a:spcAft>
            <a:defRPr/>
          </a:pPr>
          <a:r>
            <a:rPr/>
            <a:t>It has one local maximum at x=−0.270845 and y=−0.923039 where f(x,y)=181.617, and four identical local minima:</a:t>
          </a:r>
          <a:endParaRPr sz="1200">
            <a:latin typeface="Arial"/>
            <a:ea typeface="Arial"/>
            <a:cs typeface="Arial"/>
          </a:endParaRPr>
        </a:p>
        <a:p>
          <a:pPr marL="0" marR="0" indent="0">
            <a:spcAft>
              <a:spcPts val="119"/>
            </a:spcAft>
            <a:defRPr/>
          </a:pPr>
          <a:r>
            <a:rPr/>
            <a:t>f(3.0,2.0)=0.0,</a:t>
          </a:r>
          <a:endParaRPr sz="1200">
            <a:latin typeface="Arial"/>
            <a:ea typeface="Arial"/>
            <a:cs typeface="Arial"/>
          </a:endParaRPr>
        </a:p>
        <a:p>
          <a:pPr marL="0" marR="0" indent="0">
            <a:spcAft>
              <a:spcPts val="119"/>
            </a:spcAft>
            <a:defRPr/>
          </a:pPr>
          <a:r>
            <a:rPr/>
            <a:t>f(−2.805118,3.131312)=0.0,</a:t>
          </a:r>
          <a:endParaRPr sz="1200">
            <a:latin typeface="Arial"/>
            <a:ea typeface="Arial"/>
            <a:cs typeface="Arial"/>
          </a:endParaRPr>
        </a:p>
        <a:p>
          <a:pPr marL="0" marR="0" indent="0">
            <a:spcAft>
              <a:spcPts val="119"/>
            </a:spcAft>
            <a:defRPr/>
          </a:pPr>
          <a:r>
            <a:rPr/>
            <a:t>f(−3.779310,−3.283186)=0.0,</a:t>
          </a:r>
          <a:endParaRPr sz="1200">
            <a:latin typeface="Arial"/>
            <a:ea typeface="Arial"/>
            <a:cs typeface="Arial"/>
          </a:endParaRPr>
        </a:p>
        <a:p>
          <a:pPr marL="0" marR="0" indent="0">
            <a:spcAft>
              <a:spcPts val="119"/>
            </a:spcAft>
            <a:defRPr/>
          </a:pPr>
          <a:r>
            <a:rPr/>
            <a:t>f(3.584428,−1.848126)=0.0.</a:t>
          </a:r>
          <a:br>
            <a:rPr/>
          </a:br>
          <a:br>
            <a:rPr/>
          </a:br>
          <a:r>
            <a:rPr/>
            <a:t>https://en.wikipedia.org/wiki/Himmelblau%27s_function</a:t>
          </a:r>
          <a:br>
            <a:rPr/>
          </a:br>
          <a:br>
            <a:rPr/>
          </a:br>
          <a:r>
            <a:rPr/>
            <a:t>Himmelblau2 is </a:t>
          </a:r>
          <a:r>
            <a:rPr/>
            <a:t>f(x,y)=(x^2+y+a)^2+(x+y^2+b)^2</a:t>
          </a:r>
          <a:endParaRPr sz="1200">
            <a:latin typeface="Arial"/>
            <a:ea typeface="Arial"/>
            <a:cs typeface="Arial"/>
          </a:endParaRPr>
        </a:p>
        <a:p>
          <a:pPr>
            <a:defRPr/>
          </a:pPr>
          <a:endParaRPr/>
        </a:p>
      </xdr:txBody>
    </xdr:sp>
    <xdr:clientData/>
  </xdr:twoCellAnchor>
  <xdr:oneCellAnchor>
    <xdr:from>
      <xdr:col>0</xdr:col>
      <xdr:colOff>266699</xdr:colOff>
      <xdr:row>0</xdr:row>
      <xdr:rowOff>0</xdr:rowOff>
    </xdr:from>
    <xdr:ext cx="323849" cy="323849"/>
    <xdr:pic>
      <xdr:nvPicPr>
        <xdr:cNvPr id="2021793843" name=""/>
        <xdr:cNvPicPr>
          <a:picLocks noChangeAspect="1"/>
        </xdr:cNvPicPr>
      </xdr:nvPicPr>
      <xdr:blipFill>
        <a:blip r:embed="rId3"/>
        <a:stretch/>
      </xdr:blipFill>
      <xdr:spPr bwMode="auto">
        <a:xfrm flipH="0" flipV="0">
          <a:off x="266699" y="0"/>
          <a:ext cx="323849" cy="32384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253364</xdr:colOff>
      <xdr:row>0</xdr:row>
      <xdr:rowOff>11430</xdr:rowOff>
    </xdr:from>
    <xdr:ext cx="323849" cy="323849"/>
    <xdr:pic>
      <xdr:nvPicPr>
        <xdr:cNvPr id="1134017488" name=""/>
        <xdr:cNvPicPr>
          <a:picLocks noChangeAspect="1"/>
        </xdr:cNvPicPr>
      </xdr:nvPicPr>
      <xdr:blipFill>
        <a:blip r:embed="rId1"/>
        <a:stretch/>
      </xdr:blipFill>
      <xdr:spPr bwMode="auto">
        <a:xfrm flipH="0" flipV="0">
          <a:off x="253364" y="11430"/>
          <a:ext cx="323849" cy="323849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en.wikipedia.org/wiki/Centrifugal_pump" TargetMode="External"/><Relationship 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5" style="1" width="9.140625"/>
    <col bestFit="1" min="6" max="6" style="1" width="10.08203125"/>
    <col bestFit="1" min="7" max="7" style="1" width="11.80078125"/>
    <col bestFit="1" min="8" max="8" style="1" width="9.51171875"/>
    <col min="9" max="14" style="1" width="9.140625"/>
    <col bestFit="1" min="15" max="15" style="1" width="11.22265625"/>
    <col min="16" max="16384" style="1" width="9.140625"/>
  </cols>
  <sheetData>
    <row r="1" ht="14.25">
      <c r="A1" s="2"/>
      <c r="B1" s="2"/>
      <c r="C1" s="2"/>
    </row>
    <row r="2" ht="14.25">
      <c r="A2" s="2"/>
      <c r="B2" s="2" t="s">
        <v>0</v>
      </c>
      <c r="C2" s="2"/>
    </row>
    <row r="3" ht="14.25">
      <c r="A3" s="1" t="s">
        <v>1</v>
      </c>
      <c r="B3" s="1"/>
      <c r="C3" s="1"/>
    </row>
    <row r="4" ht="14.25">
      <c r="A4" s="1"/>
      <c r="B4" s="1"/>
      <c r="C4" s="1"/>
      <c r="D4" s="1"/>
    </row>
    <row r="5" ht="14.25">
      <c r="A5" s="3" t="s">
        <v>2</v>
      </c>
      <c r="B5" s="1"/>
      <c r="C5" s="1"/>
      <c r="D5" s="1"/>
    </row>
    <row r="6" ht="14.25">
      <c r="A6" s="1" t="s">
        <v>3</v>
      </c>
      <c r="B6" s="1"/>
      <c r="C6" s="1"/>
      <c r="D6" s="1"/>
    </row>
    <row r="7" ht="14.25">
      <c r="A7" s="1" t="s">
        <v>4</v>
      </c>
      <c r="D7" s="1"/>
      <c r="E7" s="1"/>
      <c r="F7" s="1"/>
      <c r="G7" s="1"/>
    </row>
    <row r="8" ht="14.25">
      <c r="A8" s="1" t="s">
        <v>5</v>
      </c>
      <c r="D8" s="1"/>
      <c r="E8" s="1"/>
      <c r="F8" s="1"/>
      <c r="G8" s="1"/>
    </row>
    <row r="9" ht="14.25">
      <c r="D9" s="1"/>
      <c r="E9" s="1"/>
      <c r="F9" s="1"/>
      <c r="G9" s="1"/>
    </row>
    <row r="10" ht="14.25">
      <c r="A10" s="1"/>
    </row>
    <row r="11" ht="14.25">
      <c r="B11" s="1"/>
      <c r="C11" s="1"/>
      <c r="D11" s="1"/>
      <c r="Y11" s="1"/>
    </row>
    <row r="12" ht="14.25"/>
    <row r="13" ht="14.25">
      <c r="A13" s="1" t="s">
        <v>6</v>
      </c>
      <c r="D13" s="1"/>
      <c r="E13" s="1"/>
      <c r="F13" s="1"/>
      <c r="G13" s="1"/>
    </row>
    <row r="14" ht="14.25">
      <c r="A14" s="1" t="s">
        <v>7</v>
      </c>
      <c r="B14" s="1" t="s">
        <v>8</v>
      </c>
      <c r="C14" s="1" t="s">
        <v>9</v>
      </c>
      <c r="D14" s="1" t="s">
        <v>10</v>
      </c>
      <c r="F14" s="1"/>
      <c r="L14" s="1"/>
      <c r="O14" s="1"/>
    </row>
    <row r="15" ht="14.25">
      <c r="A15" s="1">
        <v>538</v>
      </c>
      <c r="B15" s="1">
        <v>1</v>
      </c>
      <c r="C15" s="1">
        <v>61</v>
      </c>
      <c r="D15" s="1">
        <v>100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14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14.25">
      <c r="A17" s="3" t="s">
        <v>11</v>
      </c>
      <c r="B17" s="1"/>
      <c r="C17" s="1"/>
      <c r="D17" s="1"/>
      <c r="E17" s="1"/>
      <c r="F17" s="1" t="s">
        <v>12</v>
      </c>
      <c r="G17" s="1"/>
      <c r="H17" s="1"/>
      <c r="I17" s="1"/>
      <c r="J17" s="1"/>
      <c r="K17" s="1"/>
      <c r="L17" s="1" t="s">
        <v>13</v>
      </c>
      <c r="M17" s="1"/>
      <c r="N17" s="1"/>
      <c r="O17" s="1" t="s">
        <v>14</v>
      </c>
    </row>
    <row r="18" ht="14.25">
      <c r="A18" s="1" t="s">
        <v>15</v>
      </c>
      <c r="B18" s="1" t="s">
        <v>7</v>
      </c>
      <c r="C18" s="1" t="s">
        <v>8</v>
      </c>
      <c r="D18" s="1" t="s">
        <v>9</v>
      </c>
      <c r="E18" s="1" t="s">
        <v>10</v>
      </c>
      <c r="F18" s="1" t="s">
        <v>16</v>
      </c>
      <c r="G18" s="1" t="s">
        <v>17</v>
      </c>
      <c r="H18" s="1" t="s">
        <v>18</v>
      </c>
      <c r="I18" s="1" t="s">
        <v>19</v>
      </c>
      <c r="J18" s="1" t="s">
        <v>20</v>
      </c>
      <c r="K18" s="1" t="s">
        <v>21</v>
      </c>
      <c r="L18" s="1" t="s">
        <v>19</v>
      </c>
      <c r="M18" s="1" t="s">
        <v>20</v>
      </c>
      <c r="N18" s="1" t="s">
        <v>21</v>
      </c>
      <c r="O18" s="1" t="s">
        <v>22</v>
      </c>
    </row>
    <row r="19" ht="14.25">
      <c r="A19" s="1" t="s">
        <v>23</v>
      </c>
      <c r="B19" s="1">
        <f>($A$15/3)+(SUM(F19:H19))</f>
        <v>191.33333333333334</v>
      </c>
      <c r="C19" s="1">
        <f>B$15/3</f>
        <v>0.33333333333333331</v>
      </c>
      <c r="D19" s="1">
        <f>C$15/3</f>
        <v>20.333333333333332</v>
      </c>
      <c r="E19" s="1">
        <f>D$15/3</f>
        <v>33.333333333333336</v>
      </c>
      <c r="F19" s="4">
        <v>1</v>
      </c>
      <c r="G19" s="4">
        <v>6</v>
      </c>
      <c r="H19" s="4">
        <v>5</v>
      </c>
      <c r="I19" s="1">
        <f t="shared" ref="I19:I21" si="0">(C19+F19)/$B19</f>
        <v>0.0069686411149825775</v>
      </c>
      <c r="J19" s="1">
        <f t="shared" ref="J19:J21" si="1">(D19+G19)/$B19</f>
        <v>0.1376306620209059</v>
      </c>
      <c r="K19" s="1">
        <f t="shared" ref="K19:K21" si="2">(E19+H19)/$B19</f>
        <v>0.20034843205574912</v>
      </c>
      <c r="L19" s="1">
        <v>0.0070000000000000001</v>
      </c>
      <c r="M19" s="1">
        <v>0.14000000000000001</v>
      </c>
      <c r="N19" s="1">
        <v>0.20000000000000001</v>
      </c>
      <c r="O19" s="5">
        <f t="shared" ref="O19:O21" si="3">(I19-L19)^2+(J19-M19)^2+(K19-N19)^2</f>
        <v>5.7361507363208496e-06</v>
      </c>
    </row>
    <row r="20" ht="14.25">
      <c r="A20" s="1" t="s">
        <v>24</v>
      </c>
      <c r="B20" s="1">
        <f>($A$15/3)+(SUM(F20:H20))</f>
        <v>179.33333333333334</v>
      </c>
      <c r="C20" s="1">
        <f>B$15/3</f>
        <v>0.33333333333333331</v>
      </c>
      <c r="D20" s="1">
        <f>C$15/3</f>
        <v>20.333333333333332</v>
      </c>
      <c r="E20" s="1">
        <f>D$15/3</f>
        <v>33.333333333333336</v>
      </c>
      <c r="F20" s="1">
        <v>0</v>
      </c>
      <c r="G20" s="1">
        <v>0</v>
      </c>
      <c r="H20" s="1">
        <v>0</v>
      </c>
      <c r="I20" s="1">
        <f t="shared" si="0"/>
        <v>0.0018587360594795536</v>
      </c>
      <c r="J20" s="1">
        <f t="shared" si="1"/>
        <v>0.11338289962825278</v>
      </c>
      <c r="K20" s="1">
        <f t="shared" si="2"/>
        <v>0.18587360594795541</v>
      </c>
      <c r="L20" s="1">
        <v>0.0070000000000000001</v>
      </c>
      <c r="M20" s="1">
        <v>0.14000000000000001</v>
      </c>
      <c r="N20" s="1">
        <v>0.20000000000000001</v>
      </c>
      <c r="O20" s="1">
        <f t="shared" si="3"/>
        <v>0.00093445763601940378</v>
      </c>
    </row>
    <row r="21" ht="14.25">
      <c r="A21" s="1" t="s">
        <v>25</v>
      </c>
      <c r="B21" s="1">
        <f>($A$15/3)+(SUM(F21:H21))</f>
        <v>179.33333333333334</v>
      </c>
      <c r="C21" s="1">
        <f>B$15/3</f>
        <v>0.33333333333333331</v>
      </c>
      <c r="D21" s="1">
        <f>C$15/3</f>
        <v>20.333333333333332</v>
      </c>
      <c r="E21" s="1">
        <f>D$15/3</f>
        <v>33.333333333333336</v>
      </c>
      <c r="F21" s="1">
        <v>0</v>
      </c>
      <c r="G21" s="1">
        <v>0</v>
      </c>
      <c r="H21" s="1">
        <v>0</v>
      </c>
      <c r="I21" s="1">
        <f t="shared" si="0"/>
        <v>0.0018587360594795536</v>
      </c>
      <c r="J21" s="1">
        <f t="shared" si="1"/>
        <v>0.11338289962825278</v>
      </c>
      <c r="K21" s="1">
        <f t="shared" si="2"/>
        <v>0.18587360594795541</v>
      </c>
      <c r="L21" s="1">
        <v>0.0070000000000000001</v>
      </c>
      <c r="M21" s="1">
        <v>0.14000000000000001</v>
      </c>
      <c r="N21" s="1">
        <v>0.20000000000000001</v>
      </c>
      <c r="O21" s="1">
        <f t="shared" si="3"/>
        <v>0.00093445763601940378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6384" style="1" width="9.140625"/>
  </cols>
  <sheetData>
    <row r="1" ht="14.25">
      <c r="A1" s="2"/>
      <c r="B1" s="2"/>
      <c r="C1" s="2"/>
    </row>
    <row r="2" ht="14.25">
      <c r="A2" s="2"/>
      <c r="B2" s="2" t="s">
        <v>0</v>
      </c>
      <c r="C2" s="2"/>
    </row>
    <row r="3" ht="14.25">
      <c r="A3" s="1" t="s">
        <v>26</v>
      </c>
    </row>
    <row r="5" ht="14.25">
      <c r="A5" s="1" t="s">
        <v>27</v>
      </c>
    </row>
    <row r="6" ht="14.25">
      <c r="A6" s="1" t="s">
        <v>28</v>
      </c>
      <c r="B6" s="1"/>
    </row>
    <row r="7" ht="14.25">
      <c r="A7" s="1"/>
      <c r="B7" s="1"/>
    </row>
    <row r="8" ht="14.25">
      <c r="A8" s="1" t="s">
        <v>29</v>
      </c>
    </row>
    <row r="9" ht="14.25">
      <c r="A9" s="1" t="s">
        <v>30</v>
      </c>
    </row>
    <row r="10" ht="14.25">
      <c r="A10" s="1"/>
      <c r="B10" s="1"/>
    </row>
    <row r="11" ht="14.25">
      <c r="A11" s="1" t="s">
        <v>31</v>
      </c>
      <c r="B11" s="1"/>
    </row>
    <row r="12" ht="14.25">
      <c r="A12" s="1" t="s">
        <v>32</v>
      </c>
      <c r="B12" s="6">
        <v>3</v>
      </c>
    </row>
    <row r="13" ht="14.25">
      <c r="A13" s="1" t="s">
        <v>33</v>
      </c>
      <c r="B13" s="6">
        <v>2</v>
      </c>
    </row>
    <row r="14" ht="14.25">
      <c r="B14" s="1"/>
    </row>
    <row r="15" ht="14.25">
      <c r="A15" s="1" t="s">
        <v>34</v>
      </c>
      <c r="B15" s="1"/>
    </row>
    <row r="16" ht="14.25">
      <c r="A16" s="1" t="s">
        <v>35</v>
      </c>
      <c r="B16" s="5">
        <f>(B12^2+B13-11)^2+(B12+B13^2-7)^2</f>
        <v>0</v>
      </c>
    </row>
    <row r="17" ht="14.25">
      <c r="A17" s="1"/>
    </row>
    <row r="18" ht="14.25">
      <c r="A18" s="1"/>
      <c r="B18" s="1"/>
    </row>
    <row r="19" ht="14.25">
      <c r="A19" s="1" t="s">
        <v>36</v>
      </c>
      <c r="B19" s="1"/>
    </row>
    <row r="20" ht="14.25">
      <c r="A20" s="1" t="s">
        <v>37</v>
      </c>
    </row>
    <row r="21" ht="14.25">
      <c r="A21" s="1"/>
    </row>
    <row r="22" ht="14.25">
      <c r="A22" s="1" t="s">
        <v>29</v>
      </c>
    </row>
    <row r="23" ht="14.25">
      <c r="A23" s="1" t="s">
        <v>38</v>
      </c>
      <c r="B23" s="1"/>
    </row>
    <row r="24" ht="14.25">
      <c r="A24" s="1"/>
      <c r="B24" s="1"/>
    </row>
    <row r="25" ht="14.25">
      <c r="A25" s="1" t="s">
        <v>39</v>
      </c>
    </row>
    <row r="26" ht="14.25">
      <c r="A26" s="1" t="s">
        <v>40</v>
      </c>
      <c r="B26" s="1">
        <v>-11</v>
      </c>
      <c r="D26" s="1"/>
      <c r="E26" s="1"/>
    </row>
    <row r="27" ht="14.25">
      <c r="A27" s="1" t="s">
        <v>41</v>
      </c>
      <c r="B27" s="1">
        <v>-7</v>
      </c>
      <c r="C27" s="1"/>
      <c r="D27" s="1"/>
      <c r="E27" s="1"/>
    </row>
    <row r="28" ht="14.25">
      <c r="A28" s="1"/>
      <c r="B28" s="1"/>
      <c r="C28" s="1"/>
      <c r="D28" s="1"/>
      <c r="E28" s="1"/>
    </row>
    <row r="29" ht="14.25">
      <c r="A29" s="1" t="s">
        <v>42</v>
      </c>
      <c r="B29" s="1"/>
      <c r="C29" s="1"/>
      <c r="D29" s="1"/>
      <c r="E29" s="1"/>
    </row>
    <row r="30" ht="14.25">
      <c r="A30" s="1" t="s">
        <v>40</v>
      </c>
      <c r="B30" s="6">
        <v>-11</v>
      </c>
      <c r="C30" s="1"/>
      <c r="D30" s="1"/>
      <c r="E30" s="1"/>
    </row>
    <row r="31" ht="14.25">
      <c r="A31" s="1" t="s">
        <v>41</v>
      </c>
      <c r="B31" s="6">
        <v>-7</v>
      </c>
      <c r="C31" s="1"/>
      <c r="D31" s="1"/>
      <c r="E31" s="1"/>
    </row>
    <row r="32" ht="14.25">
      <c r="A32" s="1"/>
      <c r="B32" s="1"/>
      <c r="C32" s="1"/>
      <c r="D32" s="1"/>
      <c r="E32" s="1"/>
    </row>
    <row r="33" ht="14.25">
      <c r="A33" s="1" t="s">
        <v>43</v>
      </c>
      <c r="C33" s="1"/>
      <c r="D33" s="1" t="s">
        <v>44</v>
      </c>
      <c r="E33" s="5">
        <f>SUM(E35:E39)</f>
        <v>0</v>
      </c>
    </row>
    <row r="34" ht="14.25">
      <c r="A34" s="1" t="s">
        <v>32</v>
      </c>
      <c r="B34" s="1" t="s">
        <v>33</v>
      </c>
      <c r="C34" s="1" t="s">
        <v>45</v>
      </c>
      <c r="D34" s="1" t="s">
        <v>46</v>
      </c>
      <c r="E34" s="1" t="s">
        <v>47</v>
      </c>
    </row>
    <row r="35" ht="14.25">
      <c r="A35" s="1">
        <v>0</v>
      </c>
      <c r="B35" s="1">
        <v>0</v>
      </c>
      <c r="C35" s="1">
        <v>170</v>
      </c>
      <c r="D35" s="1">
        <f>(A35^2+B35+$B$30)^2+(A35+B35^2+$B$31)^2</f>
        <v>170</v>
      </c>
      <c r="E35" s="1">
        <f t="shared" ref="E35:E44" si="4">(C35-D35)^2</f>
        <v>0</v>
      </c>
    </row>
    <row r="36" ht="14.25">
      <c r="A36" s="1">
        <v>1</v>
      </c>
      <c r="B36" s="1">
        <v>0</v>
      </c>
      <c r="C36" s="1">
        <v>136</v>
      </c>
      <c r="D36" s="1">
        <f>(A36^2+B36+$B$30)^2+(A36+B36^2+$B$31)^2</f>
        <v>136</v>
      </c>
      <c r="E36" s="1">
        <f t="shared" si="4"/>
        <v>0</v>
      </c>
    </row>
    <row r="37" ht="14.25">
      <c r="A37" s="1">
        <v>0</v>
      </c>
      <c r="B37" s="1">
        <v>1</v>
      </c>
      <c r="C37" s="1">
        <v>136</v>
      </c>
      <c r="D37" s="1">
        <f>(A37^2+B37+$B$30)^2+(A37+B37^2+$B$31)^2</f>
        <v>136</v>
      </c>
      <c r="E37" s="1">
        <f t="shared" si="4"/>
        <v>0</v>
      </c>
    </row>
    <row r="38" ht="14.25">
      <c r="A38" s="1">
        <v>-2</v>
      </c>
      <c r="B38" s="1">
        <v>1</v>
      </c>
      <c r="C38" s="1">
        <v>100</v>
      </c>
      <c r="D38" s="1">
        <f>(A38^2+B38+$B$30)^2+(A38+B38^2+$B$31)^2</f>
        <v>100</v>
      </c>
      <c r="E38" s="1">
        <f t="shared" si="4"/>
        <v>0</v>
      </c>
    </row>
    <row r="39" ht="14.25">
      <c r="A39" s="1">
        <v>-1</v>
      </c>
      <c r="B39" s="1">
        <v>-1</v>
      </c>
      <c r="C39" s="1">
        <v>170</v>
      </c>
      <c r="D39" s="1">
        <f>(A39^2+B39+$B$30)^2+(A39+B39^2+$B$31)^2</f>
        <v>170</v>
      </c>
      <c r="E39" s="1">
        <f t="shared" si="4"/>
        <v>0</v>
      </c>
    </row>
    <row r="40" ht="14.25">
      <c r="A40" s="1">
        <v>4</v>
      </c>
      <c r="B40" s="1">
        <v>2</v>
      </c>
      <c r="C40" s="1">
        <v>50</v>
      </c>
      <c r="D40" s="1">
        <f>(A40^2+B40+$B$30)^2+(A40+B40^2+$B$31)^2</f>
        <v>50</v>
      </c>
      <c r="E40" s="1">
        <f t="shared" si="4"/>
        <v>0</v>
      </c>
    </row>
    <row r="41" ht="14.25">
      <c r="A41" s="1">
        <v>3</v>
      </c>
      <c r="B41" s="1">
        <v>2</v>
      </c>
      <c r="C41" s="1">
        <v>0</v>
      </c>
      <c r="D41" s="1">
        <f>(A41^2+B41+$B$30)^2+(A41+B41^2+$B$31)^2</f>
        <v>0</v>
      </c>
      <c r="E41" s="1">
        <f t="shared" si="4"/>
        <v>0</v>
      </c>
    </row>
    <row r="42" ht="14.25">
      <c r="A42" s="1">
        <v>-4</v>
      </c>
      <c r="B42" s="1">
        <v>-4</v>
      </c>
      <c r="C42" s="1">
        <v>26</v>
      </c>
      <c r="D42" s="1">
        <f>(A42^2+B42+$B$30)^2+(A42+B42^2+$B$31)^2</f>
        <v>26</v>
      </c>
      <c r="E42" s="1">
        <f t="shared" si="4"/>
        <v>0</v>
      </c>
    </row>
    <row r="43" ht="14.25">
      <c r="A43" s="1">
        <v>0.5</v>
      </c>
      <c r="B43" s="1">
        <v>0.5</v>
      </c>
      <c r="C43" s="1">
        <v>144.125</v>
      </c>
      <c r="D43" s="1">
        <f>(A43^2+B43+$B$30)^2+(A43+B43^2+$B$31)^2</f>
        <v>144.125</v>
      </c>
      <c r="E43" s="1">
        <f t="shared" si="4"/>
        <v>0</v>
      </c>
    </row>
    <row r="44" ht="14.25">
      <c r="A44" s="1">
        <v>-0.5</v>
      </c>
      <c r="B44" s="1">
        <v>-0.5</v>
      </c>
      <c r="C44" s="1">
        <v>179.125</v>
      </c>
      <c r="D44" s="1">
        <f>(A44^2+B44+$B$30)^2+(A44+B44^2+$B$31)^2</f>
        <v>179.125</v>
      </c>
      <c r="E44" s="1">
        <f t="shared" si="4"/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1" width="9.140625"/>
    <col bestFit="1" min="2" max="2" style="1" width="11.9140625"/>
    <col min="3" max="4" style="1" width="9.140625"/>
    <col bestFit="1" min="5" max="5" style="1" width="12.0234375"/>
    <col bestFit="1" min="6" max="6" style="1" width="11.57421875"/>
    <col min="7" max="16384" style="1" width="9.140625"/>
  </cols>
  <sheetData>
    <row r="1" ht="14.25">
      <c r="A1" s="2"/>
      <c r="B1" s="2"/>
      <c r="C1" s="2"/>
    </row>
    <row r="2" ht="14.25">
      <c r="A2" s="2"/>
      <c r="B2" s="7" t="s">
        <v>0</v>
      </c>
      <c r="C2" s="2"/>
    </row>
    <row r="3" ht="14.25">
      <c r="A3" s="1" t="s">
        <v>48</v>
      </c>
    </row>
    <row r="4" ht="14.25">
      <c r="A4" s="1" t="s">
        <v>49</v>
      </c>
    </row>
    <row r="5" ht="14.25">
      <c r="A5" s="8" t="s">
        <v>50</v>
      </c>
      <c r="B5" s="2"/>
      <c r="C5" s="2"/>
      <c r="D5" s="2"/>
      <c r="E5" s="2"/>
    </row>
    <row r="6" ht="14.25">
      <c r="A6" s="3" t="s">
        <v>51</v>
      </c>
    </row>
    <row r="7" ht="14.25">
      <c r="A7" s="1"/>
    </row>
    <row r="8" ht="14.25">
      <c r="A8" s="3" t="s">
        <v>52</v>
      </c>
    </row>
    <row r="9" ht="14.25">
      <c r="A9" s="3" t="s">
        <v>53</v>
      </c>
    </row>
    <row r="10" ht="14.25">
      <c r="A10" s="1"/>
      <c r="B10" s="1"/>
      <c r="D10" s="1"/>
    </row>
    <row r="11" ht="14.25">
      <c r="A11" s="1" t="s">
        <v>31</v>
      </c>
      <c r="B11" s="1"/>
      <c r="D11" s="1"/>
    </row>
    <row r="12" ht="14.25">
      <c r="A12" s="1" t="s">
        <v>54</v>
      </c>
      <c r="B12" s="4">
        <f>-13.234750733365487</f>
        <v>-13.234750733365487</v>
      </c>
      <c r="D12" s="1">
        <v>-13</v>
      </c>
    </row>
    <row r="13" ht="14.25">
      <c r="A13" s="1" t="s">
        <v>55</v>
      </c>
      <c r="B13" s="9">
        <f>1.5159271347291787/10^10</f>
        <v>1.5159271347291787e-10</v>
      </c>
      <c r="D13" s="10">
        <v>1.1499999999999999e-10</v>
      </c>
    </row>
    <row r="14" ht="14.25">
      <c r="A14" s="1" t="s">
        <v>56</v>
      </c>
      <c r="B14" s="4">
        <f>-1.98425/10^6</f>
        <v>-1.9842500000000001e-06</v>
      </c>
      <c r="D14" s="1">
        <v>-1.9800000000000001e-06</v>
      </c>
    </row>
    <row r="15" ht="14.25">
      <c r="A15" s="1"/>
      <c r="B15" s="1"/>
      <c r="C15" s="1"/>
      <c r="D15" s="1"/>
    </row>
    <row r="16" ht="14.25">
      <c r="A16" s="1"/>
      <c r="B16" s="1"/>
      <c r="C16" s="1"/>
      <c r="D16" s="1"/>
    </row>
    <row r="17" ht="14.25">
      <c r="A17" s="3" t="s">
        <v>57</v>
      </c>
      <c r="B17" s="1"/>
      <c r="C17" s="1"/>
      <c r="D17" s="1"/>
    </row>
    <row r="18" ht="14.25">
      <c r="A18" s="3" t="s">
        <v>58</v>
      </c>
      <c r="B18" s="1"/>
      <c r="C18" s="1"/>
      <c r="D18" s="1"/>
    </row>
    <row r="19" ht="14.25">
      <c r="A19" s="3" t="s">
        <v>59</v>
      </c>
      <c r="B19" s="1"/>
      <c r="C19" s="1"/>
      <c r="D19" s="1"/>
      <c r="E19" s="1"/>
      <c r="F19" s="1"/>
    </row>
    <row r="20" ht="14.25">
      <c r="A20" s="3" t="s">
        <v>60</v>
      </c>
      <c r="B20" s="1"/>
      <c r="C20" s="1"/>
      <c r="D20" s="1"/>
      <c r="F20" s="1"/>
    </row>
    <row r="21" ht="14.25">
      <c r="A21" s="1"/>
      <c r="B21" s="1"/>
      <c r="C21" s="1"/>
      <c r="D21" s="1"/>
      <c r="E21" s="1" t="s">
        <v>44</v>
      </c>
      <c r="F21" s="5">
        <f>SUM(F25:F60)</f>
        <v>0.35940893024372567</v>
      </c>
    </row>
    <row r="22" ht="14.25">
      <c r="A22" s="1"/>
      <c r="B22" s="1"/>
      <c r="C22" s="1"/>
      <c r="D22" s="1"/>
      <c r="E22" s="1"/>
    </row>
    <row r="23" ht="14.25">
      <c r="A23" s="1" t="s">
        <v>61</v>
      </c>
      <c r="B23" s="1" t="s">
        <v>62</v>
      </c>
      <c r="C23" s="1" t="s">
        <v>63</v>
      </c>
      <c r="D23" s="1" t="s">
        <v>64</v>
      </c>
      <c r="E23" s="1" t="s">
        <v>65</v>
      </c>
      <c r="F23" s="1" t="s">
        <v>66</v>
      </c>
    </row>
    <row r="24" ht="14.25">
      <c r="A24" s="1" t="s">
        <v>67</v>
      </c>
      <c r="B24" s="1" t="s">
        <v>68</v>
      </c>
      <c r="C24" s="1" t="s">
        <v>69</v>
      </c>
      <c r="D24" s="1" t="s">
        <v>70</v>
      </c>
      <c r="E24" s="1" t="s">
        <v>70</v>
      </c>
      <c r="F24" s="1"/>
    </row>
    <row r="25" ht="14.25">
      <c r="A25" s="11">
        <v>1450</v>
      </c>
      <c r="B25" s="11">
        <v>112</v>
      </c>
      <c r="C25" s="11">
        <v>0</v>
      </c>
      <c r="D25" s="11">
        <v>4</v>
      </c>
      <c r="E25" s="1">
        <f>($B$12*(B25^(-2))*(C25^2))+($B$13*A25^2*B25^2)+($B$14*A25^(-3)*B25^3*C25^5)</f>
        <v>3.9980698428835026</v>
      </c>
      <c r="F25" s="1">
        <f>(D25-E25)^2</f>
        <v>3.7255064943653848e-06</v>
      </c>
    </row>
    <row r="26" ht="14.25">
      <c r="A26" s="11">
        <v>1450</v>
      </c>
      <c r="B26" s="11">
        <v>112</v>
      </c>
      <c r="C26" s="11">
        <v>30</v>
      </c>
      <c r="D26" s="11">
        <v>3</v>
      </c>
      <c r="E26" s="1">
        <f>($B$12*(B26^(-2))*(C26^2))+($B$13*A26^2*B26^2)+($B$14*A26^(-3)*B26^3*C26^5)</f>
        <v>3.0262897963292921</v>
      </c>
      <c r="F26" s="1">
        <f>(D26-E26)^2</f>
        <v>0.00069115339103565884</v>
      </c>
    </row>
    <row r="27" ht="14.25">
      <c r="A27" s="11">
        <v>1450</v>
      </c>
      <c r="B27" s="11">
        <v>112</v>
      </c>
      <c r="C27" s="11">
        <v>44</v>
      </c>
      <c r="D27" s="12">
        <v>1.7</v>
      </c>
      <c r="E27" s="1">
        <f>($B$12*(B27^(-2))*(C27^2))+($B$13*A27^2*B27^2)+($B$14*A27^(-3)*B27^3*C27^5)</f>
        <v>1.8046586817884789</v>
      </c>
      <c r="F27" s="1">
        <f>(D27-E27)^2</f>
        <v>0.010953439673702089</v>
      </c>
    </row>
    <row r="28" ht="14.25">
      <c r="A28" s="11">
        <v>1450</v>
      </c>
      <c r="B28" s="11">
        <v>120</v>
      </c>
      <c r="C28" s="11">
        <v>0</v>
      </c>
      <c r="D28" s="12">
        <v>4.5999999999999996</v>
      </c>
      <c r="E28" s="1">
        <f>($B$12*(B28^(-2))*(C28^2))+($B$13*A28^2*B28^2)+($B$14*A28^(-3)*B28^3*C28^5)</f>
        <v>4.5896209931060614</v>
      </c>
      <c r="F28" s="1">
        <f>(D28-E28)^2</f>
        <v>0.0001077237841044172</v>
      </c>
    </row>
    <row r="29" ht="14.25">
      <c r="A29" s="11">
        <v>1450</v>
      </c>
      <c r="B29" s="11">
        <v>120</v>
      </c>
      <c r="C29" s="11">
        <v>30</v>
      </c>
      <c r="D29" s="12">
        <v>3.7999999999999998</v>
      </c>
      <c r="E29" s="1">
        <f>($B$12*(B29^(-2))*(C29^2))+($B$13*A29^2*B29^2)+($B$14*A29^(-3)*B29^3*C29^5)</f>
        <v>3.7351188984382531</v>
      </c>
      <c r="F29" s="1">
        <f>(D29-E29)^2</f>
        <v>0.0042095573398656973</v>
      </c>
    </row>
    <row r="30" ht="14.25">
      <c r="A30" s="11">
        <v>1450</v>
      </c>
      <c r="B30" s="11">
        <v>120</v>
      </c>
      <c r="C30" s="11">
        <v>48</v>
      </c>
      <c r="D30" s="12">
        <v>2.1000000000000001</v>
      </c>
      <c r="E30" s="1">
        <f>($B$12*(B30^(-2))*(C30^2))+($B$13*A30^2*B30^2)+($B$14*A30^(-3)*B30^3*C30^5)</f>
        <v>2.1854832322020705</v>
      </c>
      <c r="F30" s="1">
        <f>(D30-E30)^2</f>
        <v>0.0073073829877130922</v>
      </c>
    </row>
    <row r="31" ht="14.25">
      <c r="A31" s="11">
        <v>1450</v>
      </c>
      <c r="B31" s="11">
        <v>130</v>
      </c>
      <c r="C31" s="11">
        <v>0</v>
      </c>
      <c r="D31" s="12">
        <v>5.4000000000000004</v>
      </c>
      <c r="E31" s="1">
        <f>($B$12*(B31^(-2))*(C31^2))+($B$13*A31^2*B31^2)+($B$14*A31^(-3)*B31^3*C31^5)</f>
        <v>5.3864301932980867</v>
      </c>
      <c r="F31" s="1">
        <f>(D31-E31)^2</f>
        <v>0.00018413965392730078</v>
      </c>
    </row>
    <row r="32" ht="14.25">
      <c r="A32" s="11">
        <v>1450</v>
      </c>
      <c r="B32" s="11">
        <v>130</v>
      </c>
      <c r="C32" s="11">
        <v>30</v>
      </c>
      <c r="D32" s="12">
        <v>4.7999999999999998</v>
      </c>
      <c r="E32" s="1">
        <f>($B$12*(B32^(-2))*(C32^2))+($B$13*A32^2*B32^2)+($B$14*A32^(-3)*B32^3*C32^5)</f>
        <v>4.6468730706605754</v>
      </c>
      <c r="F32" s="1">
        <f>(D32-E32)^2</f>
        <v>0.023447856488921073</v>
      </c>
    </row>
    <row r="33" ht="14.25">
      <c r="A33" s="11">
        <v>1450</v>
      </c>
      <c r="B33" s="11">
        <v>130</v>
      </c>
      <c r="C33" s="11">
        <v>51</v>
      </c>
      <c r="D33" s="12">
        <v>2.7999999999999998</v>
      </c>
      <c r="E33" s="1">
        <f>($B$12*(B33^(-2))*(C33^2))+($B$13*A33^2*B33^2)+($B$14*A33^(-3)*B33^3*C33^5)</f>
        <v>2.8561609138404718</v>
      </c>
      <c r="F33" s="1">
        <f>(D33-E33)^2</f>
        <v>0.0031540482433969137</v>
      </c>
    </row>
    <row r="34" ht="14.25">
      <c r="A34" s="11">
        <v>1450</v>
      </c>
      <c r="B34" s="11">
        <v>142</v>
      </c>
      <c r="C34" s="11">
        <v>0</v>
      </c>
      <c r="D34" s="12">
        <v>6.4000000000000004</v>
      </c>
      <c r="E34" s="1">
        <f>($B$12*(B34^(-2))*(C34^2))+($B$13*A34^2*B34^2)+($B$14*A34^(-3)*B34^3*C34^5)</f>
        <v>6.4267442850687937</v>
      </c>
      <c r="F34" s="1">
        <f>(D34-E34)^2</f>
        <v>0.00071525678384088234</v>
      </c>
    </row>
    <row r="35" ht="14.25">
      <c r="A35" s="11">
        <v>1450</v>
      </c>
      <c r="B35" s="11">
        <v>142</v>
      </c>
      <c r="C35" s="11">
        <v>30</v>
      </c>
      <c r="D35" s="12">
        <v>5.7999999999999998</v>
      </c>
      <c r="E35" s="1">
        <f>($B$12*(B35^(-2))*(C35^2))+($B$13*A35^2*B35^2)+($B$14*A35^(-3)*B35^3*C35^5)</f>
        <v>5.7907384335714154</v>
      </c>
      <c r="F35" s="1">
        <f>(D35-E35)^2</f>
        <v>8.5776612711082419e-05</v>
      </c>
    </row>
    <row r="36" ht="14.25">
      <c r="A36" s="11">
        <v>1450</v>
      </c>
      <c r="B36" s="11">
        <v>142</v>
      </c>
      <c r="C36" s="11">
        <v>55</v>
      </c>
      <c r="D36" s="12">
        <v>3.5</v>
      </c>
      <c r="E36" s="1">
        <f>($B$12*(B36^(-2))*(C36^2))+($B$13*A36^2*B36^2)+($B$14*A36^(-3)*B36^3*C36^5)</f>
        <v>3.5033381918008302</v>
      </c>
      <c r="F36" s="1">
        <f>(D36-E36)^2</f>
        <v>1.1143524499129775e-05</v>
      </c>
    </row>
    <row r="37" ht="14.25">
      <c r="A37" s="11">
        <v>2900</v>
      </c>
      <c r="B37" s="11">
        <v>112</v>
      </c>
      <c r="C37" s="11">
        <v>0</v>
      </c>
      <c r="D37" s="13">
        <v>15.9</v>
      </c>
      <c r="E37" s="1">
        <f>($B$12*(B37^(-2))*(C37^2))+($B$13*A37^2*B37^2)+($B$14*A37^(-3)*B37^3*C37^5)</f>
        <v>15.992279371534011</v>
      </c>
      <c r="F37" s="1">
        <f>(D37-E37)^2</f>
        <v>0.0085154824107118963</v>
      </c>
    </row>
    <row r="38" ht="14.25">
      <c r="A38" s="11">
        <v>2900</v>
      </c>
      <c r="B38" s="11">
        <v>112</v>
      </c>
      <c r="C38" s="11">
        <v>40</v>
      </c>
      <c r="D38" s="13">
        <v>14.1</v>
      </c>
      <c r="E38" s="1">
        <f>($B$12*(B38^(-2))*(C38^2))+($B$13*A38^2*B38^2)+($B$14*A38^(-3)*B38^3*C38^5)</f>
        <v>14.292468814863785</v>
      </c>
      <c r="F38" s="1">
        <f>(D38-E38)^2</f>
        <v>0.037044244695070019</v>
      </c>
    </row>
    <row r="39" ht="14.25">
      <c r="A39" s="11">
        <v>2900</v>
      </c>
      <c r="B39" s="11">
        <v>112</v>
      </c>
      <c r="C39" s="11">
        <v>85</v>
      </c>
      <c r="D39" s="11">
        <v>8</v>
      </c>
      <c r="E39" s="1">
        <f>($B$12*(B39^(-2))*(C39^2))+($B$13*A39^2*B39^2)+($B$14*A39^(-3)*B39^3*C39^5)</f>
        <v>7.862258769920845</v>
      </c>
      <c r="F39" s="1">
        <f>(D39-E39)^2</f>
        <v>0.018972646463718702</v>
      </c>
    </row>
    <row r="40" ht="14.25">
      <c r="A40" s="11">
        <v>2900</v>
      </c>
      <c r="B40" s="11">
        <v>120</v>
      </c>
      <c r="C40" s="11">
        <v>0</v>
      </c>
      <c r="D40" s="13">
        <v>18.100000000000001</v>
      </c>
      <c r="E40" s="1">
        <f>($B$12*(B40^(-2))*(C40^2))+($B$13*A40^2*B40^2)+($B$14*A40^(-3)*B40^3*C40^5)</f>
        <v>18.358483972424246</v>
      </c>
      <c r="F40" s="1">
        <f>(D40-E40)^2</f>
        <v>0.066813964000217468</v>
      </c>
    </row>
    <row r="41" ht="14.25">
      <c r="A41" s="11">
        <v>2900</v>
      </c>
      <c r="B41" s="11">
        <v>120</v>
      </c>
      <c r="C41" s="11">
        <v>40</v>
      </c>
      <c r="D41" s="11">
        <v>17</v>
      </c>
      <c r="E41" s="1">
        <f>($B$12*(B41^(-2))*(C41^2))+($B$13*A41^2*B41^2)+($B$14*A41^(-3)*B41^3*C41^5)</f>
        <v>16.873559972212625</v>
      </c>
      <c r="F41" s="1">
        <f>(D41-E41)^2</f>
        <v>0.015987080626872093</v>
      </c>
    </row>
    <row r="42" ht="14.25">
      <c r="A42" s="11">
        <v>2900</v>
      </c>
      <c r="B42" s="11">
        <v>120</v>
      </c>
      <c r="C42" s="11">
        <v>90</v>
      </c>
      <c r="D42" s="11">
        <v>10</v>
      </c>
      <c r="E42" s="1">
        <f>($B$12*(B42^(-2))*(C42^2))+($B$13*A42^2*B42^2)+($B$14*A42^(-3)*B42^3*C42^5)</f>
        <v>10.08378265474502</v>
      </c>
      <c r="F42" s="1">
        <f>(D42-E42)^2</f>
        <v>0.0070195332361232595</v>
      </c>
    </row>
    <row r="43" ht="14.25">
      <c r="A43" s="11">
        <v>2900</v>
      </c>
      <c r="B43" s="11">
        <v>130</v>
      </c>
      <c r="C43" s="11">
        <v>0</v>
      </c>
      <c r="D43" s="13">
        <v>21.800000000000001</v>
      </c>
      <c r="E43" s="1">
        <f>($B$12*(B43^(-2))*(C43^2))+($B$13*A43^2*B43^2)+($B$14*A43^(-3)*B43^3*C43^5)</f>
        <v>21.545720773192347</v>
      </c>
      <c r="F43" s="1">
        <f>(D43-E43)^2</f>
        <v>0.064657925185898302</v>
      </c>
    </row>
    <row r="44" ht="14.25">
      <c r="A44" s="11">
        <v>2900</v>
      </c>
      <c r="B44" s="11">
        <v>130</v>
      </c>
      <c r="C44" s="11">
        <v>40</v>
      </c>
      <c r="D44" s="13">
        <v>20.199999999999999</v>
      </c>
      <c r="E44" s="1">
        <f>($B$12*(B44^(-2))*(C44^2))+($B$13*A44^2*B44^2)+($B$14*A44^(-3)*B44^3*C44^5)</f>
        <v>20.274423194031886</v>
      </c>
      <c r="F44" s="1">
        <f>(D44-E44)^2</f>
        <v>0.0055388118099078867</v>
      </c>
    </row>
    <row r="45" ht="14.25">
      <c r="A45" s="11">
        <v>2900</v>
      </c>
      <c r="B45" s="11">
        <v>130</v>
      </c>
      <c r="C45" s="11">
        <v>100</v>
      </c>
      <c r="D45" s="11">
        <v>12</v>
      </c>
      <c r="E45" s="1">
        <f>($B$12*(B45^(-2))*(C45^2))+($B$13*A45^2*B45^2)+($B$14*A45^(-3)*B45^3*C45^5)</f>
        <v>11.927063289351153</v>
      </c>
      <c r="F45" s="1">
        <f>(D45-E45)^2</f>
        <v>0.0053197637602735975</v>
      </c>
    </row>
    <row r="46" ht="14.25">
      <c r="A46" s="11">
        <v>2900</v>
      </c>
      <c r="B46" s="11">
        <v>142</v>
      </c>
      <c r="C46" s="11">
        <v>0</v>
      </c>
      <c r="D46" s="13">
        <v>25.899999999999999</v>
      </c>
      <c r="E46" s="1">
        <f>($B$12*(B46^(-2))*(C46^2))+($B$13*A46^2*B46^2)+($B$14*A46^(-3)*B46^3*C46^5)</f>
        <v>25.706977140275175</v>
      </c>
      <c r="F46" s="1">
        <f>(D46-E46)^2</f>
        <v>0.037257824376349009</v>
      </c>
    </row>
    <row r="47" ht="14.25">
      <c r="A47" s="11">
        <v>2900</v>
      </c>
      <c r="B47" s="11">
        <v>142</v>
      </c>
      <c r="C47" s="11">
        <v>40</v>
      </c>
      <c r="D47" s="13">
        <v>24.5</v>
      </c>
      <c r="E47" s="1">
        <f>($B$12*(B47^(-2))*(C47^2))+($B$13*A47^2*B47^2)+($B$14*A47^(-3)*B47^3*C47^5)</f>
        <v>24.632954125841941</v>
      </c>
      <c r="F47" s="1">
        <f>(D47-E47)^2</f>
        <v>0.017676799578394711</v>
      </c>
    </row>
    <row r="48" ht="14.25">
      <c r="A48" s="11">
        <v>2900</v>
      </c>
      <c r="B48" s="11">
        <v>142</v>
      </c>
      <c r="C48" s="11">
        <v>110</v>
      </c>
      <c r="D48" s="11">
        <v>14</v>
      </c>
      <c r="E48" s="1">
        <f>($B$12*(B48^(-2))*(C48^2))+($B$13*A48^2*B48^2)+($B$14*A48^(-3)*B48^3*C48^5)</f>
        <v>14.013352767203321</v>
      </c>
      <c r="F48" s="1">
        <f>(D48-E48)^2</f>
        <v>0.0001782963919860764</v>
      </c>
    </row>
    <row r="49" ht="14.25">
      <c r="A49" s="11">
        <v>960</v>
      </c>
      <c r="B49" s="11">
        <v>112</v>
      </c>
      <c r="C49" s="11">
        <v>0</v>
      </c>
      <c r="D49" s="14">
        <v>1.75</v>
      </c>
      <c r="E49" s="1">
        <f>($B$12*(B49^(-2))*(C49^2))+($B$13*A49^2*B49^2)+($B$14*A49^(-3)*B49^3*C49^5)</f>
        <v>1.7524952043764261</v>
      </c>
      <c r="F49" s="1">
        <f>(D49-E49)^2</f>
        <v>6.2260448801361677e-06</v>
      </c>
    </row>
    <row r="50" ht="14.25">
      <c r="A50" s="11">
        <v>960</v>
      </c>
      <c r="B50" s="11">
        <v>112</v>
      </c>
      <c r="C50" s="11">
        <v>20</v>
      </c>
      <c r="D50" s="12">
        <v>1.3</v>
      </c>
      <c r="E50" s="1">
        <f>($B$12*(B50^(-2))*(C50^2))+($B$13*A50^2*B50^2)+($B$14*A50^(-3)*B50^3*C50^5)</f>
        <v>1.3203857845246827</v>
      </c>
      <c r="F50" s="1">
        <f>(D50-E50)^2</f>
        <v>0.00041558021068679058</v>
      </c>
    </row>
    <row r="51" ht="14.25">
      <c r="A51" s="11">
        <v>960</v>
      </c>
      <c r="B51" s="11">
        <v>112</v>
      </c>
      <c r="C51" s="11">
        <v>29</v>
      </c>
      <c r="D51" s="12">
        <v>0.69999999999999996</v>
      </c>
      <c r="E51" s="1">
        <f>($B$12*(B51^(-2))*(C51^2))+($B$13*A51^2*B51^2)+($B$14*A51^(-3)*B51^3*C51^5)</f>
        <v>0.80055561118760443</v>
      </c>
      <c r="F51" s="1">
        <f>(D51-E51)^2</f>
        <v>0.010111430941312687</v>
      </c>
    </row>
    <row r="52" ht="14.25">
      <c r="A52" s="11">
        <v>960</v>
      </c>
      <c r="B52" s="11">
        <v>120</v>
      </c>
      <c r="C52" s="11">
        <v>0</v>
      </c>
      <c r="D52" s="11">
        <v>2</v>
      </c>
      <c r="E52" s="1">
        <f>($B$12*(B52^(-2))*(C52^2))+($B$13*A52^2*B52^2)+($B$14*A52^(-3)*B52^3*C52^5)</f>
        <v>2.0117929642076318</v>
      </c>
      <c r="F52" s="1">
        <f>(D52-E52)^2</f>
        <v>0.00013907400480248384</v>
      </c>
    </row>
    <row r="53" ht="14.25">
      <c r="A53" s="11">
        <v>960</v>
      </c>
      <c r="B53" s="11">
        <v>120</v>
      </c>
      <c r="C53" s="11">
        <v>20</v>
      </c>
      <c r="D53" s="14">
        <v>1.6499999999999999</v>
      </c>
      <c r="E53" s="1">
        <f>($B$12*(B53^(-2))*(C53^2))+($B$13*A53^2*B53^2)+($B$14*A53^(-3)*B53^3*C53^5)</f>
        <v>1.6317594368919237</v>
      </c>
      <c r="F53" s="1">
        <f>(D53-E53)^2</f>
        <v>0.00033271814249971057</v>
      </c>
    </row>
    <row r="54" ht="14.25">
      <c r="A54" s="11">
        <v>960</v>
      </c>
      <c r="B54" s="11">
        <v>120</v>
      </c>
      <c r="C54" s="11">
        <v>31</v>
      </c>
      <c r="D54" s="14">
        <v>0.94999999999999996</v>
      </c>
      <c r="E54" s="1">
        <f>($B$12*(B54^(-2))*(C54^2))+($B$13*A54^2*B54^2)+($B$14*A54^(-3)*B54^3*C54^5)</f>
        <v>1.0176052295352565</v>
      </c>
      <c r="F54" s="1">
        <f>(D54-E54)^2</f>
        <v>0.0045704670605147173</v>
      </c>
    </row>
    <row r="55" ht="14.25">
      <c r="A55" s="11">
        <v>960</v>
      </c>
      <c r="B55" s="11">
        <v>130</v>
      </c>
      <c r="C55" s="11">
        <v>0</v>
      </c>
      <c r="D55" s="14">
        <v>2.3900000000000001</v>
      </c>
      <c r="E55" s="1">
        <f>($B$12*(B55^(-2))*(C55^2))+($B$13*A55^2*B55^2)+($B$14*A55^(-3)*B55^3*C55^5)</f>
        <v>2.3610625760492345</v>
      </c>
      <c r="F55" s="1">
        <f>(D55-E55)^2</f>
        <v>0.00083737450490634232</v>
      </c>
    </row>
    <row r="56" ht="14.25">
      <c r="A56" s="11">
        <v>960</v>
      </c>
      <c r="B56" s="11">
        <v>130</v>
      </c>
      <c r="C56" s="11">
        <v>20</v>
      </c>
      <c r="D56" s="12">
        <v>2.1000000000000001</v>
      </c>
      <c r="E56" s="1">
        <f>($B$12*(B56^(-2))*(C56^2))+($B$13*A56^2*B56^2)+($B$14*A56^(-3)*B56^3*C56^5)</f>
        <v>2.0320465421408453</v>
      </c>
      <c r="F56" s="1">
        <f>(D56-E56)^2</f>
        <v>0.0046176724350159197</v>
      </c>
    </row>
    <row r="57" ht="14.25">
      <c r="A57" s="11">
        <v>960</v>
      </c>
      <c r="B57" s="11">
        <v>130</v>
      </c>
      <c r="C57" s="13">
        <v>33.799999999999997</v>
      </c>
      <c r="D57" s="14">
        <v>1.22</v>
      </c>
      <c r="E57" s="1">
        <f>($B$12*(B57^(-2))*(C57^2))+($B$13*A57^2*B57^2)+($B$14*A57^(-3)*B57^3*C57^5)</f>
        <v>1.2490251067921314</v>
      </c>
      <c r="F57" s="1">
        <f>(D57-E57)^2</f>
        <v>0.00084245682429463461</v>
      </c>
    </row>
    <row r="58" ht="14.25">
      <c r="A58" s="11">
        <v>960</v>
      </c>
      <c r="B58" s="11">
        <v>142</v>
      </c>
      <c r="C58" s="11">
        <v>0</v>
      </c>
      <c r="D58" s="14">
        <v>2.8100000000000001</v>
      </c>
      <c r="E58" s="1">
        <f>($B$12*(B58^(-2))*(C58^2))+($B$13*A58^2*B58^2)+($B$14*A58^(-3)*B58^3*C58^5)</f>
        <v>2.8170689812696312</v>
      </c>
      <c r="F58" s="1">
        <f>(D58-E58)^2</f>
        <v>4.9970496190396453e-05</v>
      </c>
    </row>
    <row r="59" ht="14.25">
      <c r="A59" s="11">
        <v>960</v>
      </c>
      <c r="B59" s="11">
        <v>142</v>
      </c>
      <c r="C59" s="11">
        <v>20</v>
      </c>
      <c r="D59" s="12">
        <v>2.5</v>
      </c>
      <c r="E59" s="1">
        <f>($B$12*(B59^(-2))*(C59^2))+($B$13*A59^2*B59^2)+($B$14*A59^(-3)*B59^3*C59^5)</f>
        <v>2.5339774807392987</v>
      </c>
      <c r="F59" s="1">
        <f>(D59-E59)^2</f>
        <v>0.0011544691973894166</v>
      </c>
    </row>
    <row r="60" ht="14.25">
      <c r="A60" s="11">
        <v>960</v>
      </c>
      <c r="B60" s="11">
        <v>142</v>
      </c>
      <c r="C60" s="11">
        <v>36</v>
      </c>
      <c r="D60" s="12">
        <v>1.6000000000000001</v>
      </c>
      <c r="E60" s="1">
        <f>($B$12*(B60^(-2))*(C60^2))+($B$13*A60^2*B60^2)+($B$14*A60^(-3)*B60^3*C60^5)</f>
        <v>1.5781387590586047</v>
      </c>
      <c r="F60" s="1">
        <f>(D60-E60)^2</f>
        <v>0.00047791385549774285</v>
      </c>
    </row>
  </sheetData>
  <hyperlinks>
    <hyperlink r:id="rId1" ref="A5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2025-11-29T13:25:50Z</dcterms:modified>
</cp:coreProperties>
</file>